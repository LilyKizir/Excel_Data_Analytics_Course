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lilykiziriya/Documents/GitHub/Excel_Data_Analytics_Course/2_Formulas_Functions/"/>
    </mc:Choice>
  </mc:AlternateContent>
  <xr:revisionPtr revIDLastSave="0" documentId="13_ncr:1_{976A0564-FCF8-2446-B51A-C8397A329968}" xr6:coauthVersionLast="47" xr6:coauthVersionMax="47" xr10:uidLastSave="{00000000-0000-0000-0000-000000000000}"/>
  <bookViews>
    <workbookView xWindow="29400" yWindow="3220" windowWidth="23600" windowHeight="1590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a="1"/>
  <c r="A9" i="12" s="1"/>
  <c r="B9" i="12" s="1"/>
  <c r="T3" i="8"/>
  <c r="U3" i="8" s="1"/>
  <c r="T4" i="8"/>
  <c r="U4" i="8" s="1"/>
  <c r="T5" i="8"/>
  <c r="T6" i="8"/>
  <c r="U6" i="8" s="1"/>
  <c r="V6" i="8" s="1"/>
  <c r="T7" i="8"/>
  <c r="U7" i="8"/>
  <c r="V7" i="8"/>
  <c r="T8" i="8"/>
  <c r="U8" i="8" s="1"/>
  <c r="T9" i="8"/>
  <c r="U9" i="8"/>
  <c r="V9" i="8"/>
  <c r="T10" i="8"/>
  <c r="V10" i="8" s="1"/>
  <c r="U10" i="8"/>
  <c r="T11" i="8"/>
  <c r="U11" i="8" s="1"/>
  <c r="T12" i="8"/>
  <c r="U12" i="8"/>
  <c r="V12" i="8"/>
  <c r="T13" i="8"/>
  <c r="T14" i="8"/>
  <c r="U14" i="8" s="1"/>
  <c r="V14" i="8" s="1"/>
  <c r="T15" i="8"/>
  <c r="U15" i="8"/>
  <c r="V15" i="8"/>
  <c r="T16" i="8"/>
  <c r="U16" i="8" s="1"/>
  <c r="T17" i="8"/>
  <c r="U17" i="8"/>
  <c r="V17" i="8"/>
  <c r="T18" i="8"/>
  <c r="V18" i="8" s="1"/>
  <c r="U18" i="8"/>
  <c r="T19" i="8"/>
  <c r="U19" i="8" s="1"/>
  <c r="T20" i="8"/>
  <c r="U20" i="8"/>
  <c r="V20" i="8"/>
  <c r="T21" i="8"/>
  <c r="V2" i="8"/>
  <c r="U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J2" i="9"/>
  <c r="B10" i="12"/>
  <c r="B11" i="12"/>
  <c r="B12" i="12"/>
  <c r="B13" i="12"/>
  <c r="B14" i="12"/>
  <c r="B15" i="12"/>
  <c r="B16" i="12"/>
  <c r="B17" i="12"/>
  <c r="B18" i="12"/>
  <c r="B19" i="12"/>
  <c r="B20" i="12"/>
  <c r="B21" i="12"/>
  <c r="B22" i="12"/>
  <c r="B23" i="12"/>
  <c r="B24" i="12"/>
  <c r="B25" i="12"/>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U21" i="8" l="1"/>
  <c r="V21" i="8" s="1"/>
  <c r="U13" i="8"/>
  <c r="V13" i="8" s="1"/>
  <c r="U5" i="8"/>
  <c r="V5" i="8" s="1"/>
  <c r="V4" i="8"/>
  <c r="V19" i="8"/>
  <c r="V11" i="8"/>
  <c r="V3" i="8"/>
  <c r="V16" i="8"/>
  <c r="V8"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<sst xmlns="http://schemas.openxmlformats.org/spreadsheetml/2006/main" count="609" uniqueCount="95">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</sst>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E1" zoomScale="110" zoomScaleNormal="110" workbookViewId="0">
      <selection activeCell="H26" sqref="H26"/>
    </sheetView>
  </sheetViews>
  <sheetFormatPr baseColWidth="10" defaultColWidth="8.83203125" defaultRowHeight="15" x14ac:dyDescent="0.2"/>
  <cols>
    <col min="1" max="1" width="17.6640625" customWidth="1"/>
    <col min="2" max="2" width="14.33203125" customWidth="1"/>
    <col min="3" max="3" width="27.33203125" customWidth="1"/>
    <col min="4" max="4" width="17.6640625" style="9" customWidth="1"/>
    <col min="5" max="5" width="26.33203125" customWidth="1"/>
    <col min="6" max="6" width="11" customWidth="1"/>
    <col min="7" max="7" width="22" customWidth="1"/>
    <col min="8" max="8" width="40" customWidth="1"/>
    <col min="9" max="9" width="8.83203125" customWidth="1"/>
    <col min="10" max="10" width="34.6640625" customWidth="1"/>
    <col min="11" max="11" width="8.83203125" customWidth="1"/>
    <col min="12" max="12" width="13.33203125" customWidth="1"/>
    <col min="13" max="13" width="15.5" customWidth="1"/>
    <col min="14" max="14" width="8.83203125" customWidth="1"/>
    <col min="15" max="15" width="16.33203125" customWidth="1"/>
    <col min="17" max="19" width="0" hidden="1" customWidth="1"/>
  </cols>
  <sheetData>
    <row r="1" spans="1:22" x14ac:dyDescent="0.2">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 ")</f>
        <v>Pam</v>
      </c>
      <c r="M2" t="str">
        <v>Beesly</v>
      </c>
      <c r="O2" t="str">
        <f>RIGHT($A2,7)</f>
        <v>0123548</v>
      </c>
      <c r="Q2">
        <f>FIND(",", G2)+LEN(", ")</f>
        <v>11</v>
      </c>
      <c r="R2">
        <f>FIND(",",G2,Q2)</f>
        <v>13</v>
      </c>
      <c r="S2" t="str">
        <f>MID(G2,Q2,R2-Q2)</f>
        <v>CA</v>
      </c>
      <c r="T2">
        <f>FIND(",",$G2)+LEN(", ")</f>
        <v>11</v>
      </c>
      <c r="U2">
        <f>FIND(",",$G2,$T2)</f>
        <v>13</v>
      </c>
      <c r="V2" t="str">
        <f>MID($G2,$T2,($U2-$T2))</f>
        <v>CA</v>
      </c>
    </row>
    <row r="3" spans="1:22" x14ac:dyDescent="0.2">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 ")</f>
        <v>Michael</v>
      </c>
      <c r="M3" t="str">
        <v>Scott</v>
      </c>
      <c r="O3" t="str">
        <f t="shared" ref="O3:P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
      <c r="A4" s="5" t="s">
        <v>73</v>
      </c>
      <c r="B4" s="1" t="s">
        <v>58</v>
      </c>
      <c r="C4" s="1" t="s">
        <v>12</v>
      </c>
      <c r="D4" s="11">
        <v>45128.729710648149</v>
      </c>
      <c r="E4" s="1" t="s">
        <v>59</v>
      </c>
      <c r="F4" s="1" t="s">
        <v>27</v>
      </c>
      <c r="G4" s="1" t="s">
        <v>26</v>
      </c>
      <c r="H4" s="6" t="s">
        <v>6</v>
      </c>
      <c r="J4" t="str">
        <f t="shared" si="0"/>
        <v>790 Pine St, Chicago, IL, 60601</v>
      </c>
      <c r="L4" t="str" cm="1">
        <f t="array" ref="L4:M4">_xlfn.TEXTSPLIT($B4, "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
      <c r="A5" s="5" t="s">
        <v>74</v>
      </c>
      <c r="B5" s="1" t="s">
        <v>42</v>
      </c>
      <c r="C5" s="1" t="s">
        <v>5</v>
      </c>
      <c r="D5" s="11">
        <v>45173.302187499998</v>
      </c>
      <c r="E5" s="1" t="s">
        <v>43</v>
      </c>
      <c r="F5" s="1" t="s">
        <v>23</v>
      </c>
      <c r="G5" s="1" t="s">
        <v>24</v>
      </c>
      <c r="H5" s="6" t="s">
        <v>11</v>
      </c>
      <c r="J5" t="str">
        <f t="shared" si="0"/>
        <v>457 Oak St, San Jose, CA, 95101</v>
      </c>
      <c r="L5" t="str" cm="1">
        <f t="array" ref="L5:M5">_xlfn.TEXTSPLIT($B5, " ")</f>
        <v>Pam</v>
      </c>
      <c r="M5" t="str">
        <v>Beesly</v>
      </c>
      <c r="O5" t="str">
        <f t="shared" si="1"/>
        <v>0123551</v>
      </c>
      <c r="Q5">
        <f t="shared" si="2"/>
        <v>11</v>
      </c>
      <c r="R5">
        <f t="shared" si="3"/>
        <v>13</v>
      </c>
      <c r="S5" t="str">
        <f t="shared" si="4"/>
        <v>CA</v>
      </c>
      <c r="T5">
        <f t="shared" si="5"/>
        <v>11</v>
      </c>
      <c r="U5">
        <f t="shared" si="6"/>
        <v>13</v>
      </c>
      <c r="V5" t="str">
        <f t="shared" si="7"/>
        <v>CA</v>
      </c>
    </row>
    <row r="6" spans="1:22" x14ac:dyDescent="0.2">
      <c r="A6" s="5" t="s">
        <v>75</v>
      </c>
      <c r="B6" s="1" t="s">
        <v>40</v>
      </c>
      <c r="C6" s="1" t="s">
        <v>7</v>
      </c>
      <c r="D6" s="11">
        <v>45248.70857638889</v>
      </c>
      <c r="E6" s="1" t="s">
        <v>41</v>
      </c>
      <c r="F6" s="1" t="s">
        <v>29</v>
      </c>
      <c r="G6" s="1" t="s">
        <v>30</v>
      </c>
      <c r="H6" s="6" t="s">
        <v>10</v>
      </c>
      <c r="J6" t="str">
        <f t="shared" si="0"/>
        <v>459 Oak St, Philadelphia, PA, 19101</v>
      </c>
      <c r="L6" t="str" cm="1">
        <f t="array" ref="L6:M6">_xlfn.TEXTSPLIT($B6, " ")</f>
        <v>Jim</v>
      </c>
      <c r="M6" t="str">
        <v>Halpert</v>
      </c>
      <c r="O6" t="str">
        <f t="shared" si="1"/>
        <v>0123552</v>
      </c>
      <c r="Q6">
        <f t="shared" si="2"/>
        <v>15</v>
      </c>
      <c r="R6">
        <f t="shared" si="3"/>
        <v>17</v>
      </c>
      <c r="S6" t="str">
        <f t="shared" si="4"/>
        <v>PA</v>
      </c>
      <c r="T6">
        <f t="shared" si="5"/>
        <v>15</v>
      </c>
      <c r="U6">
        <f t="shared" si="6"/>
        <v>17</v>
      </c>
      <c r="V6" t="str">
        <f t="shared" si="7"/>
        <v>PA</v>
      </c>
    </row>
    <row r="7" spans="1:22" x14ac:dyDescent="0.2">
      <c r="A7" s="5" t="s">
        <v>76</v>
      </c>
      <c r="B7" s="1" t="s">
        <v>46</v>
      </c>
      <c r="C7" s="1" t="s">
        <v>9</v>
      </c>
      <c r="D7" s="11">
        <v>45302.531921296293</v>
      </c>
      <c r="E7" s="1" t="s">
        <v>47</v>
      </c>
      <c r="F7" s="1" t="s">
        <v>31</v>
      </c>
      <c r="G7" s="1" t="s">
        <v>30</v>
      </c>
      <c r="H7" s="6" t="s">
        <v>15</v>
      </c>
      <c r="J7" t="str">
        <f t="shared" si="0"/>
        <v>204 Birch St, Philadelphia, PA, 19101</v>
      </c>
      <c r="L7" t="str" cm="1">
        <f t="array" ref="L7:M7">_xlfn.TEXTSPLIT($B7, " ")</f>
        <v>Ryan</v>
      </c>
      <c r="M7" t="str">
        <v>Howard</v>
      </c>
      <c r="O7" t="str">
        <f t="shared" si="1"/>
        <v>0123553</v>
      </c>
      <c r="Q7">
        <f t="shared" si="2"/>
        <v>15</v>
      </c>
      <c r="R7">
        <f t="shared" si="3"/>
        <v>17</v>
      </c>
      <c r="S7" t="str">
        <f t="shared" si="4"/>
        <v>PA</v>
      </c>
      <c r="T7">
        <f t="shared" si="5"/>
        <v>15</v>
      </c>
      <c r="U7">
        <f t="shared" si="6"/>
        <v>17</v>
      </c>
      <c r="V7" t="str">
        <f t="shared" si="7"/>
        <v>PA</v>
      </c>
    </row>
    <row r="8" spans="1:22" x14ac:dyDescent="0.2">
      <c r="A8" s="5" t="s">
        <v>77</v>
      </c>
      <c r="B8" s="1" t="s">
        <v>58</v>
      </c>
      <c r="C8" s="1" t="s">
        <v>5</v>
      </c>
      <c r="D8" s="11">
        <v>45354.687881944446</v>
      </c>
      <c r="E8" s="1" t="s">
        <v>59</v>
      </c>
      <c r="F8" s="1" t="s">
        <v>27</v>
      </c>
      <c r="G8" s="1" t="s">
        <v>26</v>
      </c>
      <c r="H8" s="6" t="s">
        <v>6</v>
      </c>
      <c r="J8" t="str">
        <f t="shared" si="0"/>
        <v>790 Pine St, Chicago, IL, 60601</v>
      </c>
      <c r="L8" t="str" cm="1">
        <f t="array" ref="L8:M8">_xlfn.TEXTSPLIT($B8, "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
      <c r="A9" s="5" t="s">
        <v>78</v>
      </c>
      <c r="B9" s="1" t="s">
        <v>46</v>
      </c>
      <c r="C9" s="1" t="s">
        <v>1</v>
      </c>
      <c r="D9" s="11">
        <v>45408.340810185182</v>
      </c>
      <c r="E9" s="1" t="s">
        <v>47</v>
      </c>
      <c r="F9" s="1" t="s">
        <v>31</v>
      </c>
      <c r="G9" s="1" t="s">
        <v>30</v>
      </c>
      <c r="H9" s="6" t="s">
        <v>15</v>
      </c>
      <c r="J9" t="str">
        <f t="shared" si="0"/>
        <v>204 Birch St, Philadelphia, PA, 19101</v>
      </c>
      <c r="L9" t="str" cm="1">
        <f t="array" ref="L9:M9">_xlfn.TEXTSPLIT($B9, "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 ")</f>
        <v>Jim</v>
      </c>
      <c r="M20" t="str">
        <v>Halpert</v>
      </c>
      <c r="O20" t="str">
        <f t="shared" si="1"/>
        <v>0123566</v>
      </c>
      <c r="Q20">
        <f t="shared" si="2"/>
        <v>15</v>
      </c>
      <c r="R20">
        <f t="shared" si="3"/>
        <v>17</v>
      </c>
      <c r="S20" t="str">
        <f t="shared" si="4"/>
        <v>PA</v>
      </c>
      <c r="T20">
        <f t="shared" si="5"/>
        <v>15</v>
      </c>
      <c r="U20">
        <f t="shared" si="6"/>
        <v>17</v>
      </c>
      <c r="V20" t="str">
        <f t="shared" si="7"/>
        <v>PA</v>
      </c>
    </row>
    <row r="21" spans="1:22" ht="16" thickBot="1" x14ac:dyDescent="0.2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J3" sqref="J3"/>
    </sheetView>
  </sheetViews>
  <sheetFormatPr baseColWidth="10" defaultColWidth="8.83203125" defaultRowHeight="15" x14ac:dyDescent="0.2"/>
  <cols>
    <col min="1" max="1" width="14.33203125" bestFit="1" customWidth="1"/>
    <col min="2" max="2" width="18.6640625" customWidth="1"/>
    <col min="3" max="3" width="27.33203125" style="9" bestFit="1" customWidth="1"/>
    <col min="4" max="4" width="16.6640625" customWidth="1"/>
    <col min="5" max="5" width="11" bestFit="1" customWidth="1"/>
    <col min="6" max="6" width="22" bestFit="1" customWidth="1"/>
    <col min="7" max="7" width="40" bestFit="1" customWidth="1"/>
    <col min="8" max="8" width="40" hidden="1" customWidth="1"/>
    <col min="9" max="9" width="9" customWidth="1"/>
    <col min="10" max="10" width="29.1640625" bestFit="1" customWidth="1"/>
  </cols>
  <sheetData>
    <row r="1" spans="1:10" x14ac:dyDescent="0.2">
      <c r="A1" s="2" t="s">
        <v>69</v>
      </c>
      <c r="B1" s="3" t="s">
        <v>2</v>
      </c>
      <c r="C1" s="3" t="s">
        <v>3</v>
      </c>
      <c r="D1" s="10" t="s">
        <v>92</v>
      </c>
      <c r="E1" s="3" t="s">
        <v>0</v>
      </c>
      <c r="F1" s="3" t="s">
        <v>21</v>
      </c>
      <c r="G1" s="3" t="s">
        <v>22</v>
      </c>
      <c r="H1" s="4" t="s">
        <v>4</v>
      </c>
      <c r="J1" s="14" t="s">
        <v>62</v>
      </c>
    </row>
    <row r="2" spans="1:10" x14ac:dyDescent="0.2">
      <c r="A2" s="5" t="s">
        <v>72</v>
      </c>
      <c r="B2" s="1" t="s">
        <v>42</v>
      </c>
      <c r="C2" s="1" t="s">
        <v>1</v>
      </c>
      <c r="D2" s="11">
        <v>44971.640451388892</v>
      </c>
      <c r="E2" s="1" t="s">
        <v>43</v>
      </c>
      <c r="F2" s="1" t="s">
        <v>23</v>
      </c>
      <c r="G2" s="1" t="s">
        <v>24</v>
      </c>
      <c r="H2" s="6" t="s">
        <v>11</v>
      </c>
      <c r="J2" t="str">
        <f>_xlfn.TEXTJOIN(" ",TRUE,F2,G2)</f>
        <v>457 Oak St San Jose, CA, 95101</v>
      </c>
    </row>
    <row r="3" spans="1:10" x14ac:dyDescent="0.2">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
      <c r="A4" s="5" t="s">
        <v>73</v>
      </c>
      <c r="B4" s="1" t="s">
        <v>58</v>
      </c>
      <c r="C4" s="1" t="s">
        <v>12</v>
      </c>
      <c r="D4" s="11">
        <v>45128.729710648149</v>
      </c>
      <c r="E4" s="1" t="s">
        <v>59</v>
      </c>
      <c r="F4" s="1" t="s">
        <v>27</v>
      </c>
      <c r="G4" s="1" t="s">
        <v>26</v>
      </c>
      <c r="H4" s="6" t="s">
        <v>6</v>
      </c>
      <c r="J4" t="str">
        <f t="shared" si="0"/>
        <v>790 Pine St Chicago, IL, 60601</v>
      </c>
    </row>
    <row r="5" spans="1:10" x14ac:dyDescent="0.2">
      <c r="A5" s="5" t="s">
        <v>74</v>
      </c>
      <c r="B5" s="1" t="s">
        <v>42</v>
      </c>
      <c r="C5" s="1" t="s">
        <v>5</v>
      </c>
      <c r="D5" s="11">
        <v>45173.302187499998</v>
      </c>
      <c r="E5" s="1" t="s">
        <v>43</v>
      </c>
      <c r="F5" s="1" t="s">
        <v>23</v>
      </c>
      <c r="G5" s="1" t="s">
        <v>24</v>
      </c>
      <c r="H5" s="6" t="s">
        <v>11</v>
      </c>
      <c r="J5" t="str">
        <f t="shared" si="0"/>
        <v>457 Oak St San Jose, CA, 95101</v>
      </c>
    </row>
    <row r="6" spans="1:10" x14ac:dyDescent="0.2">
      <c r="A6" s="5" t="s">
        <v>75</v>
      </c>
      <c r="B6" s="1" t="s">
        <v>40</v>
      </c>
      <c r="C6" s="1" t="s">
        <v>7</v>
      </c>
      <c r="D6" s="11">
        <v>45248.70857638889</v>
      </c>
      <c r="E6" s="1" t="s">
        <v>41</v>
      </c>
      <c r="F6" s="1" t="s">
        <v>29</v>
      </c>
      <c r="G6" s="1" t="s">
        <v>30</v>
      </c>
      <c r="H6" s="6" t="s">
        <v>10</v>
      </c>
      <c r="J6" t="str">
        <f t="shared" si="0"/>
        <v>459 Oak St Philadelphia, PA, 19101</v>
      </c>
    </row>
    <row r="7" spans="1:10" x14ac:dyDescent="0.2">
      <c r="A7" s="5" t="s">
        <v>76</v>
      </c>
      <c r="B7" s="1" t="s">
        <v>46</v>
      </c>
      <c r="C7" s="1" t="s">
        <v>9</v>
      </c>
      <c r="D7" s="11">
        <v>45302.531921296293</v>
      </c>
      <c r="E7" s="1" t="s">
        <v>47</v>
      </c>
      <c r="F7" s="1" t="s">
        <v>31</v>
      </c>
      <c r="G7" s="1" t="s">
        <v>30</v>
      </c>
      <c r="H7" s="6" t="s">
        <v>15</v>
      </c>
      <c r="J7" t="str">
        <f t="shared" si="0"/>
        <v>204 Birch St Philadelphia, PA, 19101</v>
      </c>
    </row>
    <row r="8" spans="1:10" x14ac:dyDescent="0.2">
      <c r="A8" s="5" t="s">
        <v>77</v>
      </c>
      <c r="B8" s="1" t="s">
        <v>58</v>
      </c>
      <c r="C8" s="1" t="s">
        <v>5</v>
      </c>
      <c r="D8" s="11">
        <v>45354.687881944446</v>
      </c>
      <c r="E8" s="1" t="s">
        <v>59</v>
      </c>
      <c r="F8" s="1" t="s">
        <v>27</v>
      </c>
      <c r="G8" s="1" t="s">
        <v>26</v>
      </c>
      <c r="H8" s="6" t="s">
        <v>6</v>
      </c>
      <c r="J8" t="str">
        <f t="shared" si="0"/>
        <v>790 Pine St Chicago, IL, 60601</v>
      </c>
    </row>
    <row r="9" spans="1:10" x14ac:dyDescent="0.2">
      <c r="A9" s="5" t="s">
        <v>78</v>
      </c>
      <c r="B9" s="1" t="s">
        <v>46</v>
      </c>
      <c r="C9" s="1" t="s">
        <v>1</v>
      </c>
      <c r="D9" s="11">
        <v>45408.340810185182</v>
      </c>
      <c r="E9" s="1" t="s">
        <v>47</v>
      </c>
      <c r="F9" s="1" t="s">
        <v>31</v>
      </c>
      <c r="G9" s="1" t="s">
        <v>30</v>
      </c>
      <c r="H9" s="6" t="s">
        <v>15</v>
      </c>
      <c r="J9" t="str">
        <f t="shared" si="0"/>
        <v>204 Birch St Philadelphia, PA, 19101</v>
      </c>
    </row>
    <row r="10" spans="1:10" x14ac:dyDescent="0.2">
      <c r="A10" s="5" t="s">
        <v>79</v>
      </c>
      <c r="B10" s="1" t="s">
        <v>50</v>
      </c>
      <c r="C10" s="1" t="s">
        <v>7</v>
      </c>
      <c r="D10" s="11">
        <v>45458.743333333332</v>
      </c>
      <c r="E10" s="1" t="s">
        <v>51</v>
      </c>
      <c r="F10" s="1" t="s">
        <v>33</v>
      </c>
      <c r="G10" s="1" t="s">
        <v>26</v>
      </c>
      <c r="H10" s="6" t="s">
        <v>18</v>
      </c>
      <c r="J10" t="str">
        <f t="shared" si="0"/>
        <v>123 Elm St Chicago, IL, 60601</v>
      </c>
    </row>
    <row r="11" spans="1:10" x14ac:dyDescent="0.2">
      <c r="A11" s="5" t="s">
        <v>80</v>
      </c>
      <c r="B11" s="1" t="s">
        <v>54</v>
      </c>
      <c r="C11" s="1" t="s">
        <v>12</v>
      </c>
      <c r="D11" s="11">
        <v>45480.608055555553</v>
      </c>
      <c r="E11" s="1" t="s">
        <v>55</v>
      </c>
      <c r="F11" s="1" t="s">
        <v>33</v>
      </c>
      <c r="G11" s="1" t="s">
        <v>32</v>
      </c>
      <c r="H11" s="6" t="s">
        <v>13</v>
      </c>
      <c r="J11" t="str">
        <f t="shared" si="0"/>
        <v>123 Elm St Los Angeles, CA, 90001</v>
      </c>
    </row>
    <row r="12" spans="1:10" x14ac:dyDescent="0.2">
      <c r="A12" s="5" t="s">
        <v>81</v>
      </c>
      <c r="B12" s="1" t="s">
        <v>44</v>
      </c>
      <c r="C12" s="1" t="s">
        <v>7</v>
      </c>
      <c r="D12" s="11">
        <v>45455.284930555557</v>
      </c>
      <c r="E12" s="1" t="s">
        <v>45</v>
      </c>
      <c r="F12" s="1" t="s">
        <v>33</v>
      </c>
      <c r="G12" s="1" t="s">
        <v>34</v>
      </c>
      <c r="H12" s="6" t="s">
        <v>17</v>
      </c>
      <c r="J12" t="str">
        <f t="shared" si="0"/>
        <v>123 Elm St San Diego, CA, 92101</v>
      </c>
    </row>
    <row r="13" spans="1:10" x14ac:dyDescent="0.2">
      <c r="A13" s="5" t="s">
        <v>82</v>
      </c>
      <c r="B13" s="1" t="s">
        <v>56</v>
      </c>
      <c r="C13" s="1" t="s">
        <v>9</v>
      </c>
      <c r="D13" s="11">
        <v>44951.552141203705</v>
      </c>
      <c r="E13" s="1" t="s">
        <v>57</v>
      </c>
      <c r="F13" s="1" t="s">
        <v>35</v>
      </c>
      <c r="G13" s="1" t="s">
        <v>26</v>
      </c>
      <c r="H13" s="6" t="s">
        <v>16</v>
      </c>
      <c r="J13" t="str">
        <f t="shared" si="0"/>
        <v>202 Birch St Chicago, IL, 60601</v>
      </c>
    </row>
    <row r="14" spans="1:10" x14ac:dyDescent="0.2">
      <c r="A14" s="5" t="s">
        <v>83</v>
      </c>
      <c r="B14" s="1" t="s">
        <v>46</v>
      </c>
      <c r="C14" s="1" t="s">
        <v>12</v>
      </c>
      <c r="D14" s="11">
        <v>45002.490034722221</v>
      </c>
      <c r="E14" s="1" t="s">
        <v>47</v>
      </c>
      <c r="F14" s="1" t="s">
        <v>31</v>
      </c>
      <c r="G14" s="1" t="s">
        <v>30</v>
      </c>
      <c r="H14" s="6" t="s">
        <v>15</v>
      </c>
      <c r="J14" t="str">
        <f t="shared" si="0"/>
        <v>204 Birch St Philadelphia, PA, 19101</v>
      </c>
    </row>
    <row r="15" spans="1:10" x14ac:dyDescent="0.2">
      <c r="A15" s="5" t="s">
        <v>84</v>
      </c>
      <c r="B15" s="1" t="s">
        <v>52</v>
      </c>
      <c r="C15" s="1" t="s">
        <v>9</v>
      </c>
      <c r="D15" s="11">
        <v>45078.417256944442</v>
      </c>
      <c r="E15" s="1" t="s">
        <v>53</v>
      </c>
      <c r="F15" s="1" t="s">
        <v>33</v>
      </c>
      <c r="G15" s="1" t="s">
        <v>26</v>
      </c>
      <c r="H15" s="6" t="s">
        <v>19</v>
      </c>
      <c r="J15" t="str">
        <f t="shared" si="0"/>
        <v>123 Elm St Chicago, IL, 60601</v>
      </c>
    </row>
    <row r="16" spans="1:10" x14ac:dyDescent="0.2">
      <c r="A16" s="5" t="s">
        <v>85</v>
      </c>
      <c r="B16" s="1" t="s">
        <v>60</v>
      </c>
      <c r="C16" s="1" t="s">
        <v>9</v>
      </c>
      <c r="D16" s="11">
        <v>45168.729328703703</v>
      </c>
      <c r="E16" s="1" t="s">
        <v>61</v>
      </c>
      <c r="F16" s="1" t="s">
        <v>28</v>
      </c>
      <c r="G16" s="1" t="s">
        <v>26</v>
      </c>
      <c r="H16" s="6" t="s">
        <v>20</v>
      </c>
      <c r="J16" t="str">
        <f t="shared" si="0"/>
        <v>456 Oak St Chicago, IL, 60601</v>
      </c>
    </row>
    <row r="17" spans="1:10" x14ac:dyDescent="0.2">
      <c r="A17" s="5" t="s">
        <v>86</v>
      </c>
      <c r="B17" s="1" t="s">
        <v>38</v>
      </c>
      <c r="C17" s="1" t="s">
        <v>7</v>
      </c>
      <c r="D17" s="11">
        <v>45218.319780092592</v>
      </c>
      <c r="E17" s="1" t="s">
        <v>39</v>
      </c>
      <c r="F17" s="1" t="s">
        <v>25</v>
      </c>
      <c r="G17" s="1" t="s">
        <v>37</v>
      </c>
      <c r="H17" s="6" t="s">
        <v>14</v>
      </c>
      <c r="J17" t="str">
        <f t="shared" si="0"/>
        <v>203 Birch St Chicago, IL, 60602</v>
      </c>
    </row>
    <row r="18" spans="1:10" x14ac:dyDescent="0.2">
      <c r="A18" s="5" t="s">
        <v>87</v>
      </c>
      <c r="B18" s="1" t="s">
        <v>40</v>
      </c>
      <c r="C18" s="1" t="s">
        <v>12</v>
      </c>
      <c r="D18" s="11">
        <v>45350.719236111108</v>
      </c>
      <c r="E18" s="1" t="s">
        <v>41</v>
      </c>
      <c r="F18" s="1" t="s">
        <v>29</v>
      </c>
      <c r="G18" s="1" t="s">
        <v>30</v>
      </c>
      <c r="H18" s="6" t="s">
        <v>10</v>
      </c>
      <c r="J18" t="str">
        <f t="shared" si="0"/>
        <v>459 Oak St Philadelphia, PA, 19101</v>
      </c>
    </row>
    <row r="19" spans="1:10" x14ac:dyDescent="0.2">
      <c r="A19" s="5" t="s">
        <v>88</v>
      </c>
      <c r="B19" s="1" t="s">
        <v>48</v>
      </c>
      <c r="C19" s="1" t="s">
        <v>7</v>
      </c>
      <c r="D19" s="11">
        <v>45418.726354166669</v>
      </c>
      <c r="E19" s="1" t="s">
        <v>49</v>
      </c>
      <c r="F19" s="1" t="s">
        <v>28</v>
      </c>
      <c r="G19" s="1" t="s">
        <v>36</v>
      </c>
      <c r="H19" s="6" t="s">
        <v>8</v>
      </c>
      <c r="J19" t="str">
        <f t="shared" si="0"/>
        <v>456 Oak St New York, NY, 10001</v>
      </c>
    </row>
    <row r="20" spans="1:10" x14ac:dyDescent="0.2">
      <c r="A20" s="5" t="s">
        <v>89</v>
      </c>
      <c r="B20" s="1" t="s">
        <v>40</v>
      </c>
      <c r="C20" s="1" t="s">
        <v>9</v>
      </c>
      <c r="D20" s="11">
        <v>45496.291701388887</v>
      </c>
      <c r="E20" s="1" t="s">
        <v>41</v>
      </c>
      <c r="F20" s="1" t="s">
        <v>29</v>
      </c>
      <c r="G20" s="1" t="s">
        <v>30</v>
      </c>
      <c r="H20" s="6" t="s">
        <v>10</v>
      </c>
      <c r="J20" t="str">
        <f t="shared" si="0"/>
        <v>459 Oak St Philadelphia, PA, 19101</v>
      </c>
    </row>
    <row r="21" spans="1:10" ht="16" thickBot="1" x14ac:dyDescent="0.2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baseColWidth="10" defaultColWidth="8.83203125" defaultRowHeight="15" x14ac:dyDescent="0.2"/>
  <cols>
    <col min="1" max="1" width="14.33203125" bestFit="1" customWidth="1"/>
    <col min="2" max="2" width="23.33203125" bestFit="1" customWidth="1"/>
    <col min="3" max="3" width="29" style="9" customWidth="1"/>
    <col min="4" max="4" width="16" customWidth="1"/>
    <col min="5" max="5" width="11.83203125" customWidth="1"/>
    <col min="6" max="6" width="22" customWidth="1"/>
    <col min="7" max="8" width="40" customWidth="1"/>
    <col min="9" max="9" width="10.6640625" bestFit="1" customWidth="1"/>
    <col min="10" max="10" width="10.1640625" bestFit="1" customWidth="1"/>
    <col min="12" max="12" width="27.33203125" bestFit="1" customWidth="1"/>
    <col min="13" max="13" width="17.6640625" bestFit="1" customWidth="1"/>
    <col min="14" max="14" width="18.6640625" bestFit="1" customWidth="1"/>
  </cols>
  <sheetData>
    <row r="1" spans="1:14" x14ac:dyDescent="0.2">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6" thickBot="1" x14ac:dyDescent="0.2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baseColWidth="10" defaultColWidth="8.83203125" defaultRowHeight="15" x14ac:dyDescent="0.2"/>
  <cols>
    <col min="1" max="1" width="14.33203125" bestFit="1" customWidth="1"/>
    <col min="2" max="2" width="23.33203125" bestFit="1" customWidth="1"/>
    <col min="3" max="3" width="14" style="9" customWidth="1"/>
    <col min="4" max="4" width="16.1640625" customWidth="1"/>
    <col min="5" max="5" width="26.1640625" customWidth="1"/>
    <col min="6" max="6" width="22" bestFit="1" customWidth="1"/>
    <col min="7" max="7" width="37" customWidth="1"/>
    <col min="8" max="8" width="40" hidden="1" customWidth="1"/>
    <col min="9" max="9" width="11.6640625" hidden="1" customWidth="1"/>
    <col min="10" max="10" width="9.1640625" customWidth="1"/>
  </cols>
  <sheetData>
    <row r="1" spans="1:12" x14ac:dyDescent="0.2">
      <c r="A1" s="2" t="s">
        <v>69</v>
      </c>
      <c r="B1" s="3" t="s">
        <v>2</v>
      </c>
      <c r="C1" s="3" t="s">
        <v>3</v>
      </c>
      <c r="D1" s="10" t="s">
        <v>92</v>
      </c>
      <c r="E1" s="3" t="s">
        <v>0</v>
      </c>
      <c r="F1" s="3" t="s">
        <v>21</v>
      </c>
      <c r="G1" s="3" t="s">
        <v>22</v>
      </c>
      <c r="H1" s="4" t="s">
        <v>4</v>
      </c>
      <c r="J1" s="17" t="s">
        <v>64</v>
      </c>
      <c r="K1" s="17"/>
      <c r="L1" s="17"/>
    </row>
    <row r="2" spans="1:12" x14ac:dyDescent="0.2">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6" thickBot="1" x14ac:dyDescent="0.2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A9" sqref="A9"/>
    </sheetView>
  </sheetViews>
  <sheetFormatPr baseColWidth="10" defaultColWidth="8.83203125" defaultRowHeight="15" x14ac:dyDescent="0.2"/>
  <cols>
    <col min="1" max="1" width="24.33203125" customWidth="1"/>
  </cols>
  <sheetData>
    <row r="2" spans="1:75" x14ac:dyDescent="0.2">
      <c r="A2" s="15" t="s">
        <v>94</v>
      </c>
      <c r="B2" s="16"/>
    </row>
    <row r="3" spans="1:75" x14ac:dyDescent="0.2">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
      <c r="A5" s="15" t="s">
        <v>67</v>
      </c>
      <c r="B5" s="16"/>
    </row>
    <row r="6" spans="1:75" x14ac:dyDescent="0.2">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
      <c r="A8" s="15" t="s">
        <v>68</v>
      </c>
      <c r="B8" s="15" t="s">
        <v>93</v>
      </c>
      <c r="C8" s="16"/>
      <c r="D8" s="16"/>
      <c r="E8" s="16"/>
      <c r="F8" s="16"/>
    </row>
    <row r="9" spans="1:75" x14ac:dyDescent="0.2">
      <c r="A9" s="1" t="str" cm="1">
        <f t="array" ref="A9:A25">_xlfn.UNIQUE(TRANSPOSE(6:6))</f>
        <v>Kafka</v>
      </c>
      <c r="B9" s="1">
        <f>COUNTIF($6:$6,A9)</f>
        <v>3</v>
      </c>
    </row>
    <row r="10" spans="1:75" x14ac:dyDescent="0.2">
      <c r="A10" s="1" t="str">
        <v>DataBricks</v>
      </c>
      <c r="B10" s="1">
        <f t="shared" ref="B10:B25" si="0">COUNTIF($6:$6,A10)</f>
        <v>12</v>
      </c>
    </row>
    <row r="11" spans="1:75" x14ac:dyDescent="0.2">
      <c r="A11" s="1" t="str">
        <v>Spark</v>
      </c>
      <c r="B11" s="1">
        <f t="shared" si="0"/>
        <v>2</v>
      </c>
    </row>
    <row r="12" spans="1:75" x14ac:dyDescent="0.2">
      <c r="A12" s="1" t="str">
        <v>Python</v>
      </c>
      <c r="B12" s="1">
        <f t="shared" si="0"/>
        <v>2</v>
      </c>
    </row>
    <row r="13" spans="1:75" x14ac:dyDescent="0.2">
      <c r="A13" s="1" t="str">
        <v>GCP</v>
      </c>
      <c r="B13" s="1">
        <f t="shared" si="0"/>
        <v>4</v>
      </c>
    </row>
    <row r="14" spans="1:75" x14ac:dyDescent="0.2">
      <c r="A14" s="1" t="str">
        <v>Power BI</v>
      </c>
      <c r="B14" s="1">
        <f t="shared" si="0"/>
        <v>5</v>
      </c>
    </row>
    <row r="15" spans="1:75" x14ac:dyDescent="0.2">
      <c r="A15" s="1" t="str">
        <v>Airflow</v>
      </c>
      <c r="B15" s="1">
        <f t="shared" si="0"/>
        <v>6</v>
      </c>
    </row>
    <row r="16" spans="1:75" x14ac:dyDescent="0.2">
      <c r="A16" s="1" t="str">
        <v>Hadoop</v>
      </c>
      <c r="B16" s="1">
        <f t="shared" si="0"/>
        <v>7</v>
      </c>
    </row>
    <row r="17" spans="1:2" x14ac:dyDescent="0.2">
      <c r="A17" s="1" t="str">
        <v>R</v>
      </c>
      <c r="B17" s="1">
        <f t="shared" si="0"/>
        <v>6</v>
      </c>
    </row>
    <row r="18" spans="1:2" x14ac:dyDescent="0.2">
      <c r="A18" s="1" t="str">
        <v>Azure</v>
      </c>
      <c r="B18" s="1">
        <f t="shared" si="0"/>
        <v>4</v>
      </c>
    </row>
    <row r="19" spans="1:2" x14ac:dyDescent="0.2">
      <c r="A19" s="1" t="str">
        <v>Java</v>
      </c>
      <c r="B19" s="1">
        <f t="shared" si="0"/>
        <v>7</v>
      </c>
    </row>
    <row r="20" spans="1:2" x14ac:dyDescent="0.2">
      <c r="A20" s="1" t="str">
        <v>SQL</v>
      </c>
      <c r="B20" s="1">
        <f t="shared" si="0"/>
        <v>4</v>
      </c>
    </row>
    <row r="21" spans="1:2" x14ac:dyDescent="0.2">
      <c r="A21" s="1" t="str">
        <v>Snowflake</v>
      </c>
      <c r="B21" s="1">
        <f t="shared" si="0"/>
        <v>5</v>
      </c>
    </row>
    <row r="22" spans="1:2" x14ac:dyDescent="0.2">
      <c r="A22" s="1" t="str">
        <v>Scala</v>
      </c>
      <c r="B22" s="1">
        <f t="shared" si="0"/>
        <v>5</v>
      </c>
    </row>
    <row r="23" spans="1:2" x14ac:dyDescent="0.2">
      <c r="A23" s="1" t="str">
        <v>Excel</v>
      </c>
      <c r="B23" s="1">
        <f t="shared" si="0"/>
        <v>2</v>
      </c>
    </row>
    <row r="24" spans="1:2" x14ac:dyDescent="0.2">
      <c r="A24" s="1" t="str">
        <v>Tableau</v>
      </c>
      <c r="B24" s="1">
        <f t="shared" si="0"/>
        <v>1</v>
      </c>
    </row>
    <row r="25" spans="1:2" x14ac:dyDescent="0.2">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Lily Kiziriya</cp:lastModifiedBy>
  <dcterms:created xsi:type="dcterms:W3CDTF">2015-06-05T18:17:20Z</dcterms:created>
  <dcterms:modified xsi:type="dcterms:W3CDTF">2025-07-31T02:58:12Z</dcterms:modified>
</cp:coreProperties>
</file>